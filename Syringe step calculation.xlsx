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6B8308F-89D9-49CE-A583-55A1E16DCE86}" xr6:coauthVersionLast="47" xr6:coauthVersionMax="47" xr10:uidLastSave="{00000000-0000-0000-0000-000000000000}"/>
  <bookViews>
    <workbookView xWindow="-120" yWindow="-120" windowWidth="20730" windowHeight="11160" xr2:uid="{5B64E3D0-86CE-4696-9434-95339B0DC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F8" i="1"/>
  <c r="H8" i="1" s="1"/>
  <c r="H7" i="1"/>
</calcChain>
</file>

<file path=xl/sharedStrings.xml><?xml version="1.0" encoding="utf-8"?>
<sst xmlns="http://schemas.openxmlformats.org/spreadsheetml/2006/main" count="10" uniqueCount="10">
  <si>
    <t>Total stroke</t>
  </si>
  <si>
    <t>Syringe volume</t>
  </si>
  <si>
    <t>Per mm volume</t>
  </si>
  <si>
    <t>Screw Pitch</t>
  </si>
  <si>
    <t>Data sheet</t>
  </si>
  <si>
    <t>per full step</t>
  </si>
  <si>
    <t>No of rotation per 500 ul</t>
  </si>
  <si>
    <t>No of steps for 500 ul</t>
  </si>
  <si>
    <t>No of steps for 240 ul</t>
  </si>
  <si>
    <t>No of steps calculated at Biosense,
4 is 1/0.25 and 8 is micro stepping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</si>
</sst>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0BB3-E42A-4D00-85E6-2CC5B37FD5E3}">
  <dimension ref="E6:L11"/>
  <sheetViews>
    <sheetView tabSelected="1" workbookViewId="0">
      <selection activeCell="H13" sqref="H13"/>
    </sheetView>
  </sheetViews>
  <sheetFormatPr defaultRowHeight="15" x14ac:dyDescent="0.25"/>
  <cols>
    <col min="5" max="5" width="11.140625" bestFit="1" customWidth="1"/>
    <col min="6" max="6" width="17" customWidth="1"/>
    <col min="7" max="7" width="19.7109375" customWidth="1"/>
    <col min="8" max="8" width="15.140625" bestFit="1" customWidth="1"/>
    <col min="10" max="10" width="31.7109375" bestFit="1" customWidth="1"/>
  </cols>
  <sheetData>
    <row r="6" spans="5:12" x14ac:dyDescent="0.25">
      <c r="E6" t="s">
        <v>3</v>
      </c>
      <c r="F6" t="s">
        <v>0</v>
      </c>
      <c r="G6" t="s">
        <v>1</v>
      </c>
      <c r="H6" t="s">
        <v>2</v>
      </c>
      <c r="J6" s="1" t="s">
        <v>4</v>
      </c>
      <c r="K6" s="1">
        <v>0.25</v>
      </c>
      <c r="L6" s="1" t="s">
        <v>5</v>
      </c>
    </row>
    <row r="7" spans="5:12" x14ac:dyDescent="0.25">
      <c r="E7">
        <v>1.27</v>
      </c>
      <c r="F7">
        <v>12.7</v>
      </c>
      <c r="G7">
        <v>500</v>
      </c>
      <c r="H7">
        <f>G7/F7</f>
        <v>39.370078740157481</v>
      </c>
    </row>
    <row r="8" spans="5:12" x14ac:dyDescent="0.25">
      <c r="E8">
        <v>1600</v>
      </c>
      <c r="F8">
        <f>F7*E8</f>
        <v>20320</v>
      </c>
      <c r="G8">
        <v>500</v>
      </c>
      <c r="H8">
        <f>F8/500</f>
        <v>40.64</v>
      </c>
      <c r="J8" t="s">
        <v>6</v>
      </c>
      <c r="K8">
        <f>F7/E7</f>
        <v>10</v>
      </c>
    </row>
    <row r="9" spans="5:12" x14ac:dyDescent="0.25">
      <c r="G9">
        <v>240</v>
      </c>
      <c r="J9" t="s">
        <v>7</v>
      </c>
      <c r="K9">
        <f>E8*K8</f>
        <v>16000</v>
      </c>
    </row>
    <row r="10" spans="5:12" x14ac:dyDescent="0.25">
      <c r="J10" t="s">
        <v>8</v>
      </c>
      <c r="K10">
        <f>(G9*K9)/G7</f>
        <v>7680</v>
      </c>
    </row>
    <row r="11" spans="5:12" ht="45" x14ac:dyDescent="0.25">
      <c r="J11" s="2" t="s">
        <v>9</v>
      </c>
      <c r="K11">
        <f>G9*4*8</f>
        <v>7680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2025-10-24T12:03:12Z</dcterms:created>
  <dcterms:modified xsi:type="dcterms:W3CDTF">2025-10-24T13:37:15Z</dcterms:modified>
</cp:coreProperties>
</file>